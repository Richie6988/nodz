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rgrondin\Documents\"/>
    </mc:Choice>
  </mc:AlternateContent>
  <xr:revisionPtr revIDLastSave="0" documentId="8_{2E08CF46-FC7B-4E9F-9734-EFE305346665}" xr6:coauthVersionLast="47" xr6:coauthVersionMax="47" xr10:uidLastSave="{00000000-0000-0000-0000-000000000000}"/>
  <bookViews>
    <workbookView xWindow="-110" yWindow="-110" windowWidth="19420" windowHeight="10300" xr2:uid="{77878B16-D94D-4F36-A753-81F556494626}"/>
  </bookViews>
  <sheets>
    <sheet name="Offr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 l="1" a="1"/>
  <c r="A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<sst xmlns="http://schemas.openxmlformats.org/spreadsheetml/2006/main" count="280" uniqueCount="175">
  <si>
    <t>ALPX</t>
  </si>
  <si>
    <t>Nom de la société</t>
  </si>
  <si>
    <t>Revenue</t>
  </si>
  <si>
    <t>Employee</t>
  </si>
  <si>
    <t>Growth last year</t>
  </si>
  <si>
    <t>Detail</t>
  </si>
  <si>
    <t>Fondateur(s)</t>
  </si>
  <si>
    <t>Rayonnement LinkedIn</t>
  </si>
  <si>
    <t>Date de création</t>
  </si>
  <si>
    <t>Siège social</t>
  </si>
  <si>
    <t>Offre principale</t>
  </si>
  <si>
    <t>Chiffre d'affaires</t>
  </si>
  <si>
    <t>Site web</t>
  </si>
  <si>
    <t>Cristallographie simple</t>
  </si>
  <si>
    <t>Criblage par fragment</t>
  </si>
  <si>
    <t>Cryo-EM</t>
  </si>
  <si>
    <t>Zone géographique de l'offre</t>
  </si>
  <si>
    <t>Services associés / plateforme de suivi</t>
  </si>
  <si>
    <t>Éléments de coûts</t>
  </si>
  <si>
    <t>Contact</t>
  </si>
  <si>
    <t>https://growjo.com/company/Novalix</t>
  </si>
  <si>
    <t>NovAliX</t>
  </si>
  <si>
    <t>$92.3M</t>
  </si>
  <si>
    <t>We develop and apply fragment and structure-based methods to solve problems in drug discovery, and have generated cell active lead compounds and development candidates against targets in oncology, neurodegeneration, anti-infectives and inflammation.\n\nOur established group of experienced scientists is based at our fully-equipped research laboratories on Granta Park, Cambridge UK. We integrate fragment-based approaches, structural biology, biophysics, assay technology and molecular modelling with extensive medicinal chemistry expertise to enable drug discovery on both established and novel targets. We have the experience and capabilities for progressing projects from target identification through to clinical candidate. We have generated lead compounds on kinases, ATPases, protein-protein interactions and GPCRs, leading to clinical candidates for Chk1, Hsp90, Bcl-2, Mcl-1, FAAH and A2A.\n\nWe balance an internal portfolio of drug discovery projects with fully integrated research collaborations on targets with pharmaceutical companies and academic partners. Our shared-risk approach ensures a high level of engagement from our scientists and rewards success. Current disclosed collaborations include those with Servier, Daiichi Sankyo, Lundbeck and Asahi Kasei Pharma, and we seek additional partnerships.</t>
  </si>
  <si>
    <t>Stephan Jenn, Alain Wagner</t>
  </si>
  <si>
    <t>15k</t>
  </si>
  <si>
    <t>Illkirch-Graffenstaden, France</t>
  </si>
  <si>
    <t>NovAliX est une société de recherche sous contrat (CRO) spécialisée dans la découverte et le développement de médicaments.</t>
  </si>
  <si>
    <t>15 millions d'euros (2021)</t>
  </si>
  <si>
    <t>novalix.com</t>
  </si>
  <si>
    <t>✔</t>
  </si>
  <si>
    <t>International</t>
  </si>
  <si>
    <t>-</t>
  </si>
  <si>
    <t>03 68 33 02 00
ataddei@novalix.com ou Alessandro Taddei sur LinkedIn</t>
  </si>
  <si>
    <t>https://growjo.com/company/CALIXAR</t>
  </si>
  <si>
    <t>Eurofins Calixar</t>
  </si>
  <si>
    <t>$3.3M</t>
  </si>
  <si>
    <t>CALIXAR, is a biotech company specialized in the functional and native isolation of complex therapeutic targets and antigens. We develop and implement chemistry and biochemistry tools to isolate in solution - with the highest purity levels - full-length membrane proteins, while keeping their structural and functional integrity. Our approach represents the opportunity for pharmaceutical companies to start and work with high quality targets or antigens before developing antibodies, formulating vaccines and/or discovering a primary lead through Structure Based Drug Design or High Throughput Screening assays. As membrane proteins represent more than 60% of pharmaceuticals drug targets, to keep their native conformation during the extraction from membrane cells and solubilization is crucial within the process of targets selection. Our technological platform preserves the original structure of membrane proteins such as GPCRs, Ion channels, Transporters, Viral targets, etc.) or others native receptors acting as drug targets or antigens. As a result, this most accurate targeting helps biotechs, academic teams, pharmaceutical industries to develop highly potential drugs, bio drugs and vaccines and consequently saves significant time and money in further clinical stages. By using original chemistry and specific approaches designed on demand, we develop new tools and protocols for the identification, expression, extraction, purification and crystallization of these membrane proteins/antigens from cells or from endogenous materials (virus, bacteria, primary cells, organs, etc.). For structure based drug design approaches, we carry out crystallization tests and structure determination of these native targets starting from their full-length and functional version without any point mutations or deletions. CALIXAR sets up specific R&amp;D programs with its customers using classical and flexible business model: Fee for service, Risk sharing, Exclusivity option and Licensing out.</t>
  </si>
  <si>
    <t>Rodolphe SIMONOT (président actuel)</t>
  </si>
  <si>
    <t>4k</t>
  </si>
  <si>
    <t>Lyon, France</t>
  </si>
  <si>
    <t>Eurofins CALIXAR, expert en production de protéines personnalisées pour la recherche et la découverte intégrée de médicaments.</t>
  </si>
  <si>
    <t>1 738 100 € (2023)</t>
  </si>
  <si>
    <t>https://www.calixar.com/</t>
  </si>
  <si>
    <t>?</t>
  </si>
  <si>
    <t>contact@calixar.com
Vincent Corvest (Director of Scientific Business Development at Eurofins CALIXAR): vcorvest@calixar.com</t>
  </si>
  <si>
    <t>https://growjo.com/company/Domainex</t>
  </si>
  <si>
    <t>Domainex</t>
  </si>
  <si>
    <t>$23.1M</t>
  </si>
  <si>
    <t>Domainex is a fully integrated drug discovery service company based near Cambridge, UK serving pharmaceutical, biotechnology, academic and patient foundations globally. Our expertise and commitment to providing high quality services has resulted in a strong success record in drug discovery, delivering an average one candidate drug every year for the past six years.\n\nDomainexâ€™s highly experienced molecular, protein, structural and assay biologists plus medicinal, computational and analytical chemists can be leveraged through our CRO services. Domainexâ€™s focus is on providing highly efficient and well considered scientific solutions to enable successful drug discovery programmes against a wide range of drug targets. \n\nDomainex offers a range of services including:\nâ€¢ Medicinal chemistry (including SBDD)\nâ€¢ FragmentBuilder (Domainexâ€™s proprietary fragment screening platform)\nâ€¢ Computational Chemistry (including LeadBuilder Domainexâ€™s proprietary virtual screening platform)\nâ€¢ Assay Development and Screening (biochemical, biophysical and cell assays)\nâ€¢ iPSC and immune cell biology\nâ€¢ Protein Production\nâ€¢ CDH (Domainexâ€™s proprietary technology which enables the rapid identification of stable, soluble protein domains)\nâ€¢ Analytical chemistry\nâ€¢ X-ray crystallography services\n\nWhether your project is at an early stage of drug discovery or has already identified chemical matter, our processes have been shown to result in a 30% time-saving compared to industry standards and use less resource, allowing prudent management of your own budget</t>
  </si>
  <si>
    <t>Thomas Mander	 CEO</t>
  </si>
  <si>
    <t>8k</t>
  </si>
  <si>
    <t>Cambridge, Royaume-Uni</t>
  </si>
  <si>
    <t>Domainex est une société de découverte de médicaments offrant des services intégrés de la biologie à la chimie médicinale.</t>
  </si>
  <si>
    <t>Pas d'information</t>
  </si>
  <si>
    <t>domainex.co.uk</t>
  </si>
  <si>
    <t>https://growjo.com/company/Vernalis</t>
  </si>
  <si>
    <t>Vernalis</t>
  </si>
  <si>
    <r>
      <t xml:space="preserve">$46.2M </t>
    </r>
    <r>
      <rPr>
        <sz val="8"/>
        <color rgb="FF111111"/>
        <rFont val="Aptos Narrow"/>
        <family val="2"/>
      </rPr>
      <t>↗</t>
    </r>
  </si>
  <si>
    <t>Granta Park, Cambridge UK</t>
  </si>
  <si>
    <t>Vernalis est une société de recherche et développement spécialisée dans la découverte de médicaments innovants.</t>
  </si>
  <si>
    <t>vernalis.com</t>
  </si>
  <si>
    <t>X</t>
  </si>
  <si>
    <t>Sigma-Tau (Sigma-Tau Discovery)</t>
  </si>
  <si>
    <t>Claudio Cavazza</t>
  </si>
  <si>
    <t>Rome, Italie</t>
  </si>
  <si>
    <t>Sigma-Tau est une entreprise pharmaceutique italienne dédiée à la recherche, au développement et à la commercialisation de médicaments innovants.</t>
  </si>
  <si>
    <t>sigma-tau.it</t>
  </si>
  <si>
    <t>BioAscent</t>
  </si>
  <si>
    <t>7k</t>
  </si>
  <si>
    <t>Newhouse, Écosse</t>
  </si>
  <si>
    <t>BioAscent est une société de services de découverte de médicaments offrant des solutions de criblage et de chimie médicinale.</t>
  </si>
  <si>
    <t>bioascent.com</t>
  </si>
  <si>
    <t>https://growjo.com/company/PROTEROS_biostructures_GmbH</t>
  </si>
  <si>
    <t>Proteros</t>
  </si>
  <si>
    <t>$23.3M</t>
  </si>
  <si>
    <t>World leading structure accelerated lead discovery" Proteros is a biotech company focused on enabling lead discovery for challenging targets based on its unique expertise and understanding of protein and small molecule interactions. Co-founded in 1999 by Nobel Laureate Prof. Robert Huber, the company has established a global service business that includes 18 of the 20 largest pharmaceutical companies. As we continue to grow, we constantly look for committed, professional and energetic people with a high sense of responsibility, who enjoy challenges.</t>
  </si>
  <si>
    <t>9k</t>
  </si>
  <si>
    <t>Martinsried, Allemagne</t>
  </si>
  <si>
    <t>Proteros est un fournisseur de services de découverte de médicaments basé sur la structure, spécialisé dans la cristallographie et le criblage de fragments.</t>
  </si>
  <si>
    <t>proteros.com</t>
  </si>
  <si>
    <t>https://growjo.com/company/Evotec</t>
  </si>
  <si>
    <t>Evotec</t>
  </si>
  <si>
    <t>$571.5M</t>
  </si>
  <si>
    <t>Evotec is a drug discovery alliance and development partnership company focused on rapidly progressing innovative product approaches with leading pharmaceutical and biotechnology companies, academics, patient advocacy groups and venture capitalists. We operate worldwide and our more than 3,500 employees provide the highest quality stand-alone and integrated drug discovery and development solutions. We cover all activities from target-to-clinic to meet the industry's need for innovation and efficiency in drug discovery and development (EVT Execute). The Company has established a unique position by assembling top-class scientific experts and integrating state-of-the-art technologies as well as substantial experience and expertise in key therapeutic areas including neuronal diseases, diabetes and complications of diabetes, pain and inflammation, oncology, infectious diseases, respiratory diseases, fibrosis, rare diseases and women's health. On this basis, Evotec has built a broad and deep pipeline of more than 100 co-owned product opportunities at clinical, pre-clinical and discovery stages (EVT Innovate). Evotec has established multiple long-term alliances with partners including Bayer, Boehringer Ingelheim, Bristol Myers Squibb, CHDI, Novartis, Novo Nordisk, Pfizer, Sanofi, Takeda, UCB and others.</t>
  </si>
  <si>
    <t>95k</t>
  </si>
  <si>
    <t>Hambourg, Allemagne</t>
  </si>
  <si>
    <t>Evotec est une société de recherche pharmaceutique offrant des solutions complètes pour la découverte et le développement de médicaments.</t>
  </si>
  <si>
    <t>59,7 millions d'euros (2011)</t>
  </si>
  <si>
    <t>evotec.com</t>
  </si>
  <si>
    <t>~</t>
  </si>
  <si>
    <t>https://growjo.com/company/SARomics_Biostructures</t>
  </si>
  <si>
    <t>Saromics Biostructures</t>
  </si>
  <si>
    <t>$6.2M</t>
  </si>
  <si>
    <t>SARomics Biostructures provides a broad range of structural biology services that include FastLaneâ„¢ Standard and FastLaneâ„¢ Premium off-the-shelf structures, gene-to-structure and protein NMR spectroscopy services. Our recently introduced structural services also include testing, analysis and validation of the higher order structure (HOS) of biosimilars. The company's integrated drug discovery platform relies on our unique and proprietary weak affinity chromatography screening technology (WACâ„¢). We provide fragment screening and fragment-based drug design as well as computational chemistry and in silico drug discovery services. Our highly experienced and competent team of crystallographers, modellers and molecular biologists, allow us to offer to our customers quick and efficient services at highly competitive prices.</t>
  </si>
  <si>
    <t>2k</t>
  </si>
  <si>
    <t>Lund, Suède</t>
  </si>
  <si>
    <t>Saromics Biostructures est une société de biotechnologie spécialisée dans la fourniture de services de cristallographie et de criblage de fragments.</t>
  </si>
  <si>
    <t>saromics.com</t>
  </si>
  <si>
    <t>https://growjo.com/company/Charles_River_Laboratories_International</t>
  </si>
  <si>
    <t>Charles River Laboratories</t>
  </si>
  <si>
    <t>$3.4B</t>
  </si>
  <si>
    <t xml:space="preserve">17990	</t>
  </si>
  <si>
    <t>From our headquarters near Boston, MA, Charles River Laboratories\' 8,000 employees serve clients in more than 50 countries. We are a global provider of solutions that advance the drug discovery and development process. Our leading-edge products and services are designed to enable our clients to bring drugs to market faster and more efficiently. Backed by our rigorous, best-in-class procedures and our proven data collection, analysis and reporting capabilities, our products and services are organized into three categories spanning every step of the drug development pipeline: Research Models and Services, Preclinical Services, and Clinical Services.</t>
  </si>
  <si>
    <t>Henry L. Foster</t>
  </si>
  <si>
    <t>198k</t>
  </si>
  <si>
    <t>Wilmington, Massachusetts, USA</t>
  </si>
  <si>
    <t>Charles River fournit des services précliniques et cliniques pour soutenir la recherche et le développement de médicaments.</t>
  </si>
  <si>
    <t>4,13 milliards de dollars (2023)</t>
  </si>
  <si>
    <t>https://www.criver.com/products-services/discovery-services/screening-and-profiling-assays/structural-biology?region=3696</t>
  </si>
  <si>
    <t>https://growjo.com/company/Diamond_Light_Source</t>
  </si>
  <si>
    <t>Diamond Light Source</t>
  </si>
  <si>
    <t xml:space="preserve">$109.5M	</t>
  </si>
  <si>
    <t>Diamond Light Source is the UK's national synchrotron science facility, located at the Harwell Science and Innovation Campus in Oxfordshire. By accelerating electrons to near light-speed, Diamond generates brilliant beams of light from infra-red to X-rays which are used for academic and industry research and development across a range of scientific disciplines including structural biology, physics, chemistry, materials science, engineering, earth and environmental sciences.</t>
  </si>
  <si>
    <t>Gianluigi Botton, CEO</t>
  </si>
  <si>
    <t>18k</t>
  </si>
  <si>
    <t>Didcot, Oxfordshire, Royaume-Uni</t>
  </si>
  <si>
    <t>Diamond Light Source est le synchrotron national du Royaume-Uni, fournissant des installations de pointe pour la recherche scientifique.</t>
  </si>
  <si>
    <t>diamond.ac.uk</t>
  </si>
  <si>
    <t>Royaume-Uni</t>
  </si>
  <si>
    <t>ESRF (European Synchrotron Radiation Facility)</t>
  </si>
  <si>
    <t>22k</t>
  </si>
  <si>
    <t>Grenoble, France</t>
  </si>
  <si>
    <t>L'ESRF est le synchrotron européen, offrant des installations de rayonnement synchrotron de haute énergie pour la recherche scientifique.</t>
  </si>
  <si>
    <t>esrf.fr</t>
  </si>
  <si>
    <t>Europe</t>
  </si>
  <si>
    <t>https://growjo.com/company/Sygnature_Discovery</t>
  </si>
  <si>
    <t>PeakProtein (part of Sygnature Discovery)</t>
  </si>
  <si>
    <t>$165.6M</t>
  </si>
  <si>
    <t>Sygnature Discovery - enabling success in drug discovery Sygnature Discovery (www.sygnaturediscovery.com ) is a leading independent provider of integrated drug discovery resource and expertise. Since 2011, 27 compounds discovered by Sygnature for clients have entered pre-clinical development and so far 14 of these have progressed to clinical trials (Phases I, II and III). We add considerable value to our clients' research projects by providing intellectual input and drug discovery expertise to accelerate target validation, hit identification, hit-to-lead, lead optimisation and drug discovery programmes. Sygnature's capabilities include medicinal chemistry, in vitro biology, computational chemistry and informatics, DMPK, and protein crystallography (via affiliate company Peak Proteins). We have long-term partners that provide pre-clinical experimental services support. Sygnature Discovery operates a business whose primary focus is value creation for our clients, through the application of integrated drug discovery know-how and close working relationships. We have built a team of over 200 pharmaceutical industry-experienced research scientists (over 80% PhD qualified) with the ability to collaborate on an equal footing with our clients scientists to drive drug discovery projects towards the clinic. In summary, Sygnature Discovery offers: Target validation Hit identification Hit-to-lead Lead optimisation Integrated drug discovery programmes Medicinal chemistry In vitro biology (including biophysics and live cell imaging) Computational chemistry DMPK Protein crystallography</t>
  </si>
  <si>
    <t>5k</t>
  </si>
  <si>
    <t>Macclesfield, Royaume-Uni</t>
  </si>
  <si>
    <t>Production, caractérisation et structure des protéines pour la recherche en découverte de médicaments</t>
  </si>
  <si>
    <t>peakproteins.com</t>
  </si>
  <si>
    <t>VivaBiotech</t>
  </si>
  <si>
    <t>Shanghai, Chine</t>
  </si>
  <si>
    <t>Services intégrés de découverte de médicaments basés sur la structure, y compris la cristallographie aux rayons X et la Cryo-EM</t>
  </si>
  <si>
    <t xml:space="preserve">vivabiotech.com </t>
  </si>
  <si>
    <t>Helix BioStructures</t>
  </si>
  <si>
    <t>Joshua Carter (CEO)</t>
  </si>
  <si>
    <t>3k</t>
  </si>
  <si>
    <t>Indianapolis, Indiana, États-Unis</t>
  </si>
  <si>
    <t>Services intégrés de découverte de médicaments, y compris la production de protéines, la caractérisation biophysique, la cristallographie aux rayons X et la Cryo-EM</t>
  </si>
  <si>
    <t>helixbiostructures.com</t>
  </si>
  <si>
    <t>Jena BioScience GmbH</t>
  </si>
  <si>
    <t>A team of scientists from the Max-Planck-Institute of Molecular Physiology</t>
  </si>
  <si>
    <t>Löbstedter Str. 71, 07749 Jena, Germany</t>
  </si>
  <si>
    <t xml:space="preserve">Development of innovative reagents for molecular biology, nucleotide chemistry, crystallography, and cryo-EM. </t>
  </si>
  <si>
    <t>$5.9 million USD</t>
  </si>
  <si>
    <t>www.jenabioscience.com</t>
  </si>
  <si>
    <t xml:space="preserve">Quality management systems according to DIN EN ISO 9001 and ISO 14001 </t>
  </si>
  <si>
    <t>Varies by product</t>
  </si>
  <si>
    <t>info@jenabioscience.com</t>
  </si>
  <si>
    <t>https://growjo.com/company/Nuvisan_Pharma_Services</t>
  </si>
  <si>
    <t>NUVISAN</t>
  </si>
  <si>
    <t>$89.4M</t>
  </si>
  <si>
    <t>The NUVISAN Group is an internationally successful Contract Research Organisation (CRO) which performs drug trials for international pharmaceutical companies, biotech and generic manufacturers. A complete range of clinical drug development services can be offered as a package including non-clinical services, bioanalytics, bio-pharmaceuticals, pharmaceutical analysis, stability testing and clinical trial manufacturing and packaging. Founded in Germany in 1979, NUVISAN's 320 highly qualified staff provide analytics and clinical studies sponsored by the pharmaceutical industry.</t>
  </si>
  <si>
    <t>Data not available</t>
  </si>
  <si>
    <t>16k</t>
  </si>
  <si>
    <t>Wegenerstrasse 13, 89231 Neu-Ulm, Germany</t>
  </si>
  <si>
    <t xml:space="preserve">Integrated drug discovery and development solutions, including fragment screening with a proprietary library of approximately 2,000 fragments and various biophysical methods. </t>
  </si>
  <si>
    <t>www.nuvisan.com</t>
  </si>
  <si>
    <t xml:space="preserve">Customized fragment screening solutions, access to high-brilliance synchrotron sources for data collection </t>
  </si>
  <si>
    <t>Varies by service</t>
  </si>
  <si>
    <t>hello@nuvisan.com</t>
  </si>
  <si>
    <t>Biortus</t>
  </si>
  <si>
    <t>Jiangyin, Wuxi, China</t>
  </si>
  <si>
    <t>Contract research organization offering protein production, structural biology (crystallography, cryo-EM, MicroED), and in vitro assays for drug discovery.</t>
  </si>
  <si>
    <t>en.biortus.bio</t>
  </si>
  <si>
    <t>Comprehensive solutions from gene synthesis to structure determination, catalog of recombinant proteins</t>
  </si>
  <si>
    <t>info@biortus.com</t>
  </si>
  <si>
    <t>Belys ?</t>
  </si>
  <si>
    <t>BioArtus ?</t>
  </si>
  <si>
    <t>Prelux ?</t>
  </si>
  <si>
    <t>BioHelyx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</si>
</sst>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u/>
      <sz val="11"/>
      <color theme="10"/>
      <name val="Aptos Narrow"/>
      <family val="2"/>
      <scheme val="minor"/>
    </font>
    <font>
      <b/>
      <sz val="9"/>
      <color rgb="FF000000"/>
      <name val="Arial"/>
      <family val="2"/>
    </font>
    <font>
      <sz val="8"/>
      <color rgb="FF111111"/>
      <name val="Aptos Narrow"/>
      <family val="2"/>
    </font>
  </fonts>
  <fills count="3">
    <fill>
      <patternFill patternType="none"/>
    </fill>
    <fill>
      <patternFill patternType="gray125"/>
    </fill>
    <fill>
      <patternFill patternType="solid">
        <fgColor theme="5" tint="0.59999389629810485"/>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2" fillId="0" borderId="0" applyNumberFormat="0" applyFill="0" applyBorder="0" applyAlignment="0" applyProtection="0"/>
  </cellStyleXfs>
  <cellXfs count="27">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0" xfId="1"/>
    <xf numFmtId="0" fontId="1" fillId="0" borderId="4" xfId="0" applyFont="1" applyBorder="1" applyAlignment="1">
      <alignment horizontal="center" vertical="center" wrapText="1"/>
    </xf>
    <xf numFmtId="0" fontId="3" fillId="0" borderId="5" xfId="0" applyFont="1" applyBorder="1" applyAlignment="1">
      <alignment horizontal="center" vertical="center"/>
    </xf>
    <xf numFmtId="0" fontId="1" fillId="0" borderId="5" xfId="0" applyFont="1" applyBorder="1" applyAlignment="1">
      <alignment horizontal="center" vertical="center" wrapText="1"/>
    </xf>
    <xf numFmtId="9" fontId="1" fillId="0" borderId="4" xfId="0" applyNumberFormat="1" applyFont="1" applyBorder="1" applyAlignment="1">
      <alignment horizontal="center" vertical="center" wrapText="1"/>
    </xf>
    <xf numFmtId="0" fontId="0" fillId="0" borderId="5" xfId="0" applyBorder="1" applyAlignment="1">
      <alignment horizontal="center" vertical="center" wrapText="1"/>
    </xf>
    <xf numFmtId="0" fontId="2" fillId="0" borderId="5" xfId="1" applyBorder="1" applyAlignment="1">
      <alignment horizontal="center" vertical="center" wrapText="1"/>
    </xf>
    <xf numFmtId="0" fontId="0" fillId="0" borderId="6" xfId="0" applyBorder="1" applyAlignment="1">
      <alignment wrapText="1"/>
    </xf>
    <xf numFmtId="0" fontId="0" fillId="0" borderId="6" xfId="0" applyBorder="1"/>
    <xf numFmtId="0" fontId="0" fillId="2" borderId="0" xfId="0" applyFill="1"/>
    <xf numFmtId="0" fontId="0" fillId="0" borderId="5" xfId="0" applyBorder="1" applyAlignment="1">
      <alignment horizontal="center"/>
    </xf>
    <xf numFmtId="0" fontId="0" fillId="0" borderId="5" xfId="0" applyBorder="1" applyAlignment="1">
      <alignment horizontal="center" wrapText="1"/>
    </xf>
    <xf numFmtId="0" fontId="0" fillId="0" borderId="5" xfId="0" applyBorder="1" applyAlignment="1">
      <alignment horizontal="center" vertical="center"/>
    </xf>
    <xf numFmtId="0" fontId="0" fillId="0" borderId="5" xfId="0" applyBorder="1" applyAlignment="1">
      <alignment vertical="center" wrapText="1"/>
    </xf>
    <xf numFmtId="0" fontId="2" fillId="0" borderId="5" xfId="1" applyBorder="1" applyAlignment="1">
      <alignment vertical="center" wrapText="1"/>
    </xf>
    <xf numFmtId="0" fontId="0" fillId="0" borderId="6" xfId="0" applyBorder="1" applyAlignment="1">
      <alignment vertical="center" wrapText="1"/>
    </xf>
    <xf numFmtId="0" fontId="1" fillId="0" borderId="7" xfId="0" applyFont="1" applyBorder="1" applyAlignment="1">
      <alignment horizontal="center" vertical="center" wrapText="1"/>
    </xf>
    <xf numFmtId="9" fontId="1" fillId="0" borderId="7" xfId="0" applyNumberFormat="1" applyFont="1" applyBorder="1" applyAlignment="1">
      <alignment horizontal="center" vertical="center" wrapText="1"/>
    </xf>
    <xf numFmtId="0" fontId="0" fillId="0" borderId="8" xfId="0" applyBorder="1" applyAlignment="1">
      <alignment horizontal="center" vertical="center" wrapText="1"/>
    </xf>
    <xf numFmtId="0" fontId="2" fillId="0" borderId="8" xfId="1" applyBorder="1" applyAlignment="1">
      <alignment horizontal="center" vertical="center" wrapText="1"/>
    </xf>
    <xf numFmtId="0" fontId="0" fillId="0" borderId="9" xfId="0" applyBorder="1" applyAlignment="1">
      <alignment vertical="center" wrapText="1"/>
    </xf>
  </cellXfs>
  <cellStyles count="2">
    <cellStyle name="Lien hypertexte" xfId="1" builtinId="8"/>
    <cellStyle name="Normal" xfId="0" builtinId="0"/>
  </cellStyles>
  <dxfs count="27">
    <dxf>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459523-9579-41E1-ADF2-D841AEBCA6D5}" name="Table1" displayName="Table1" ref="B2:T20" totalsRowShown="0" headerRowDxfId="23" dataDxfId="22" headerRowBorderDxfId="20" tableBorderDxfId="21" totalsRowBorderDxfId="19">
  <autoFilter ref="B2:T20" xr:uid="{FC6569DF-7162-4448-AB21-E40B14C61A62}"/>
  <tableColumns count="19">
    <tableColumn id="1" xr3:uid="{5040F8FC-C714-479C-9461-2B48435EA005}" name="Nom de la société" dataDxfId="18"/>
    <tableColumn id="15" xr3:uid="{DDD69A07-E90C-494A-B431-AFFD90DF114C}" name="Revenue" dataDxfId="17"/>
    <tableColumn id="18" xr3:uid="{199BCE99-F058-4A3B-B276-F1B946CF3AB9}" name="Employee" dataDxfId="16"/>
    <tableColumn id="17" xr3:uid="{30E9E7BD-1381-4F2B-A45E-4280011E78C1}" name="Growth last year" dataDxfId="15"/>
    <tableColumn id="16" xr3:uid="{230F9889-CCDB-4C17-8B30-C8AA8C4ED4D5}" name="Detail" dataDxfId="14"/>
    <tableColumn id="2" xr3:uid="{60F67820-A3D7-476B-8B20-94718ACB0F45}" name="Fondateur(s)" dataDxfId="13"/>
    <tableColumn id="19" xr3:uid="{1FA35D1F-0479-42EC-8AA7-D07DFF3477B4}" name="Rayonnement LinkedIn" dataDxfId="12"/>
    <tableColumn id="3" xr3:uid="{8A6F2438-86D5-4114-9390-6ED7ACFBF695}" name="Date de création" dataDxfId="11"/>
    <tableColumn id="4" xr3:uid="{ECBDA0E1-8B87-4AAA-BCE6-6B65C8031BC5}" name="Siège social" dataDxfId="10"/>
    <tableColumn id="5" xr3:uid="{2BD391EB-633B-449F-967E-6E8A12FE8C79}" name="Offre principale" dataDxfId="9"/>
    <tableColumn id="6" xr3:uid="{00A8FEF4-E302-4F1C-B0FA-0BAF3A74F015}" name="Chiffre d'affaires" dataDxfId="8"/>
    <tableColumn id="7" xr3:uid="{ABD26D7F-0CC6-49E5-9CCD-BC7EB8F89B12}" name="Site web" dataDxfId="7"/>
    <tableColumn id="8" xr3:uid="{091DB64A-2DFC-4CF5-BE74-7B145532AFC1}" name="Cristallographie simple" dataDxfId="6"/>
    <tableColumn id="9" xr3:uid="{1C785391-F585-4011-ABE3-19BE2E47B8D5}" name="Criblage par fragment" dataDxfId="5"/>
    <tableColumn id="10" xr3:uid="{F94D05FF-E4C8-46F2-8DAD-5AB3C2B0D8FC}" name="Cryo-EM" dataDxfId="4"/>
    <tableColumn id="11" xr3:uid="{102BEE9F-EC85-46A3-9D6B-A62DF5042D02}" name="Zone géographique de l'offre" dataDxfId="3"/>
    <tableColumn id="14" xr3:uid="{0C07E2D2-DA82-4D57-95A0-82D1F4D7A3DD}" name="Services associés / plateforme de suivi" dataDxfId="2"/>
    <tableColumn id="12" xr3:uid="{5B31D2CD-9544-42DF-B6CD-0771675DA0FB}" name="Éléments de coûts" dataDxfId="1"/>
    <tableColumn id="13" xr3:uid="{3359299A-A393-4098-90BA-30E907C01B2E}" name="Contact" dataDxfId="0"/>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rowjo.com/company/Sygnature_Discovery" TargetMode="External"/><Relationship Id="rId3" Type="http://schemas.openxmlformats.org/officeDocument/2006/relationships/hyperlink" Target="https://growjo.com/company/Charles_River_Laboratories_International" TargetMode="External"/><Relationship Id="rId7" Type="http://schemas.openxmlformats.org/officeDocument/2006/relationships/hyperlink" Target="https://growjo.com/company/Domainex" TargetMode="External"/><Relationship Id="rId2" Type="http://schemas.openxmlformats.org/officeDocument/2006/relationships/hyperlink" Target="http://www.nuvisan.com/" TargetMode="External"/><Relationship Id="rId1" Type="http://schemas.openxmlformats.org/officeDocument/2006/relationships/hyperlink" Target="http://www.jenabioscience.com/" TargetMode="External"/><Relationship Id="rId6" Type="http://schemas.openxmlformats.org/officeDocument/2006/relationships/hyperlink" Target="https://growjo.com/company/CALIXAR" TargetMode="External"/><Relationship Id="rId5" Type="http://schemas.openxmlformats.org/officeDocument/2006/relationships/hyperlink" Target="https://growjo.com/company/Novalix" TargetMode="External"/><Relationship Id="rId4" Type="http://schemas.openxmlformats.org/officeDocument/2006/relationships/hyperlink" Target="https://growjo.com/company/Diamond_Light_Source"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828E1-7F31-480A-A4D5-F83AA2A5AA8D}">
  <dimension ref="A1:T30"/>
  <sheetViews>
    <sheetView tabSelected="1" topLeftCell="A2" zoomScale="81" zoomScaleNormal="85" workbookViewId="0">
      <selection activeCell="C4" sqref="C4"/>
    </sheetView>
  </sheetViews>
  <sheetFormatPr baseColWidth="10" defaultColWidth="10.90625" defaultRowHeight="43" customHeight="1" x14ac:dyDescent="0.35"/>
  <cols>
    <col min="2" max="6" width="20" customWidth="1"/>
    <col min="7" max="7" width="17.7265625" bestFit="1" customWidth="1"/>
    <col min="8" max="8" width="17.7265625" style="1" customWidth="1"/>
    <col min="9" max="9" width="17.08984375" customWidth="1"/>
    <col min="10" max="10" width="29.453125" style="2" bestFit="1" customWidth="1"/>
    <col min="11" max="11" width="59" bestFit="1" customWidth="1"/>
    <col min="12" max="12" width="17.453125" customWidth="1"/>
    <col min="13" max="13" width="15.26953125" bestFit="1" customWidth="1"/>
    <col min="14" max="14" width="22.90625" customWidth="1"/>
    <col min="15" max="15" width="21.453125" customWidth="1"/>
    <col min="16" max="16" width="10.26953125" customWidth="1"/>
    <col min="17" max="18" width="27.453125" customWidth="1"/>
    <col min="19" max="19" width="18.81640625" customWidth="1"/>
    <col min="20" max="20" width="13.36328125" bestFit="1" customWidth="1"/>
  </cols>
  <sheetData>
    <row r="1" spans="1:20" ht="43" customHeight="1" x14ac:dyDescent="0.35">
      <c r="A1" t="e" cm="1">
        <f t="array" ref="A1">+H10GA1:H20</f>
        <v>#NAME?</v>
      </c>
      <c r="G1" t="s">
        <v>0</v>
      </c>
      <c r="H1" s="1">
        <v>922</v>
      </c>
    </row>
    <row r="2" spans="1:20" ht="43" customHeight="1" x14ac:dyDescent="0.35">
      <c r="B2" s="3" t="s">
        <v>1</v>
      </c>
      <c r="C2" s="3" t="s">
        <v>2</v>
      </c>
      <c r="D2" s="3" t="s">
        <v>3</v>
      </c>
      <c r="E2" s="3" t="s">
        <v>4</v>
      </c>
      <c r="F2" s="3" t="s">
        <v>5</v>
      </c>
      <c r="G2" s="4" t="s">
        <v>6</v>
      </c>
      <c r="H2" s="4" t="s">
        <v>7</v>
      </c>
      <c r="I2" s="4" t="s">
        <v>8</v>
      </c>
      <c r="J2" s="4" t="s">
        <v>9</v>
      </c>
      <c r="K2" s="4" t="s">
        <v>10</v>
      </c>
      <c r="L2" s="4" t="s">
        <v>11</v>
      </c>
      <c r="M2" s="4" t="s">
        <v>12</v>
      </c>
      <c r="N2" s="4" t="s">
        <v>13</v>
      </c>
      <c r="O2" s="4" t="s">
        <v>14</v>
      </c>
      <c r="P2" s="4" t="s">
        <v>15</v>
      </c>
      <c r="Q2" s="4" t="s">
        <v>16</v>
      </c>
      <c r="R2" s="4" t="s">
        <v>17</v>
      </c>
      <c r="S2" s="4" t="s">
        <v>18</v>
      </c>
      <c r="T2" s="5" t="s">
        <v>19</v>
      </c>
    </row>
    <row r="3" spans="1:20" ht="43" customHeight="1" x14ac:dyDescent="0.35">
      <c r="A3" s="6" t="s">
        <v>20</v>
      </c>
      <c r="B3" s="7" t="s">
        <v>21</v>
      </c>
      <c r="C3" s="8" t="s">
        <v>22</v>
      </c>
      <c r="D3" s="9">
        <v>459</v>
      </c>
      <c r="E3" s="10">
        <v>0.52</v>
      </c>
      <c r="F3" s="7" t="s">
        <v>23</v>
      </c>
      <c r="G3" s="11" t="s">
        <v>24</v>
      </c>
      <c r="H3" s="11" t="s">
        <v>25</v>
      </c>
      <c r="I3" s="11">
        <v>2002</v>
      </c>
      <c r="J3" s="11" t="s">
        <v>26</v>
      </c>
      <c r="K3" s="11" t="s">
        <v>27</v>
      </c>
      <c r="L3" s="11" t="s">
        <v>28</v>
      </c>
      <c r="M3" s="12" t="s">
        <v>29</v>
      </c>
      <c r="N3" s="11" t="s">
        <v>30</v>
      </c>
      <c r="O3" s="11" t="s">
        <v>30</v>
      </c>
      <c r="P3" s="11" t="s">
        <v>30</v>
      </c>
      <c r="Q3" s="11" t="s">
        <v>31</v>
      </c>
      <c r="R3" s="11"/>
      <c r="S3" s="11" t="s">
        <v>32</v>
      </c>
      <c r="T3" s="13" t="s">
        <v>33</v>
      </c>
    </row>
    <row r="4" spans="1:20" ht="43" customHeight="1" x14ac:dyDescent="0.35">
      <c r="A4" s="6" t="s">
        <v>34</v>
      </c>
      <c r="B4" s="7" t="s">
        <v>35</v>
      </c>
      <c r="C4" s="8" t="s">
        <v>36</v>
      </c>
      <c r="D4" s="9">
        <v>21</v>
      </c>
      <c r="E4" s="10">
        <v>-0.05</v>
      </c>
      <c r="F4" s="7" t="s">
        <v>37</v>
      </c>
      <c r="G4" s="11" t="s">
        <v>38</v>
      </c>
      <c r="H4" s="11" t="s">
        <v>39</v>
      </c>
      <c r="I4" s="11">
        <v>2011</v>
      </c>
      <c r="J4" s="11" t="s">
        <v>40</v>
      </c>
      <c r="K4" s="11" t="s">
        <v>41</v>
      </c>
      <c r="L4" s="11" t="s">
        <v>42</v>
      </c>
      <c r="M4" s="12" t="s">
        <v>43</v>
      </c>
      <c r="N4" s="11" t="s">
        <v>30</v>
      </c>
      <c r="O4" s="11" t="s">
        <v>30</v>
      </c>
      <c r="P4" s="11" t="s">
        <v>44</v>
      </c>
      <c r="Q4" s="11" t="s">
        <v>31</v>
      </c>
      <c r="R4" s="11"/>
      <c r="S4" s="11" t="s">
        <v>32</v>
      </c>
      <c r="T4" s="13" t="s">
        <v>45</v>
      </c>
    </row>
    <row r="5" spans="1:20" ht="43" customHeight="1" x14ac:dyDescent="0.35">
      <c r="A5" s="6" t="s">
        <v>46</v>
      </c>
      <c r="B5" s="7" t="s">
        <v>47</v>
      </c>
      <c r="C5" s="7" t="s">
        <v>48</v>
      </c>
      <c r="D5" s="7">
        <v>149</v>
      </c>
      <c r="E5" s="10">
        <v>0.06</v>
      </c>
      <c r="F5" s="7" t="s">
        <v>49</v>
      </c>
      <c r="G5" s="11" t="s">
        <v>50</v>
      </c>
      <c r="H5" s="11" t="s">
        <v>51</v>
      </c>
      <c r="I5" s="11">
        <v>2001</v>
      </c>
      <c r="J5" s="11" t="s">
        <v>52</v>
      </c>
      <c r="K5" s="11" t="s">
        <v>53</v>
      </c>
      <c r="L5" s="11" t="s">
        <v>54</v>
      </c>
      <c r="M5" s="12" t="s">
        <v>55</v>
      </c>
      <c r="N5" s="11" t="s">
        <v>30</v>
      </c>
      <c r="O5" s="11" t="s">
        <v>30</v>
      </c>
      <c r="P5" s="11" t="s">
        <v>44</v>
      </c>
      <c r="Q5" s="11" t="s">
        <v>31</v>
      </c>
      <c r="R5" s="11"/>
      <c r="S5" s="11" t="s">
        <v>32</v>
      </c>
      <c r="T5" s="14" t="s">
        <v>32</v>
      </c>
    </row>
    <row r="6" spans="1:20" ht="43" customHeight="1" x14ac:dyDescent="0.35">
      <c r="A6" t="s">
        <v>56</v>
      </c>
      <c r="B6" s="7" t="s">
        <v>57</v>
      </c>
      <c r="C6" s="8" t="s">
        <v>58</v>
      </c>
      <c r="D6" s="9">
        <v>298</v>
      </c>
      <c r="E6" s="10">
        <v>0.01</v>
      </c>
      <c r="F6" s="7" t="s">
        <v>23</v>
      </c>
      <c r="G6" s="11" t="s">
        <v>54</v>
      </c>
      <c r="H6" s="11" t="s">
        <v>51</v>
      </c>
      <c r="I6" s="11">
        <v>2003</v>
      </c>
      <c r="J6" s="11" t="s">
        <v>59</v>
      </c>
      <c r="K6" s="11" t="s">
        <v>60</v>
      </c>
      <c r="L6" s="11" t="s">
        <v>54</v>
      </c>
      <c r="M6" s="12" t="s">
        <v>61</v>
      </c>
      <c r="N6" s="11" t="s">
        <v>30</v>
      </c>
      <c r="O6" s="11" t="s">
        <v>30</v>
      </c>
      <c r="P6" s="11" t="s">
        <v>62</v>
      </c>
      <c r="Q6" s="11" t="s">
        <v>31</v>
      </c>
      <c r="R6" s="11"/>
      <c r="S6" s="11" t="s">
        <v>32</v>
      </c>
      <c r="T6" s="14" t="s">
        <v>32</v>
      </c>
    </row>
    <row r="7" spans="1:20" ht="43" customHeight="1" x14ac:dyDescent="0.35">
      <c r="A7" s="15"/>
      <c r="B7" s="7" t="s">
        <v>63</v>
      </c>
      <c r="C7" s="7"/>
      <c r="D7" s="7"/>
      <c r="E7" s="7"/>
      <c r="F7" s="7"/>
      <c r="G7" s="11" t="s">
        <v>64</v>
      </c>
      <c r="H7" s="11" t="s">
        <v>44</v>
      </c>
      <c r="I7" s="11">
        <v>1957</v>
      </c>
      <c r="J7" s="11" t="s">
        <v>65</v>
      </c>
      <c r="K7" s="11" t="s">
        <v>66</v>
      </c>
      <c r="L7" s="11" t="s">
        <v>54</v>
      </c>
      <c r="M7" s="12" t="s">
        <v>67</v>
      </c>
      <c r="N7" s="11" t="s">
        <v>30</v>
      </c>
      <c r="O7" s="11" t="s">
        <v>44</v>
      </c>
      <c r="P7" s="11" t="s">
        <v>44</v>
      </c>
      <c r="Q7" s="11" t="s">
        <v>31</v>
      </c>
      <c r="R7" s="11"/>
      <c r="S7" s="11" t="s">
        <v>32</v>
      </c>
      <c r="T7" s="14" t="s">
        <v>32</v>
      </c>
    </row>
    <row r="8" spans="1:20" ht="43" customHeight="1" x14ac:dyDescent="0.35">
      <c r="A8" s="15"/>
      <c r="B8" s="7" t="s">
        <v>68</v>
      </c>
      <c r="C8" s="7"/>
      <c r="D8" s="7"/>
      <c r="E8" s="7"/>
      <c r="F8" s="7"/>
      <c r="G8" s="11" t="s">
        <v>54</v>
      </c>
      <c r="H8" s="11" t="s">
        <v>69</v>
      </c>
      <c r="I8" s="11">
        <v>2013</v>
      </c>
      <c r="J8" s="11" t="s">
        <v>70</v>
      </c>
      <c r="K8" s="11" t="s">
        <v>71</v>
      </c>
      <c r="L8" s="11" t="s">
        <v>54</v>
      </c>
      <c r="M8" s="12" t="s">
        <v>72</v>
      </c>
      <c r="N8" s="11" t="s">
        <v>30</v>
      </c>
      <c r="O8" s="11" t="s">
        <v>30</v>
      </c>
      <c r="P8" s="11" t="s">
        <v>44</v>
      </c>
      <c r="Q8" s="11" t="s">
        <v>31</v>
      </c>
      <c r="R8" s="11"/>
      <c r="S8" s="11" t="s">
        <v>32</v>
      </c>
      <c r="T8" s="14" t="s">
        <v>32</v>
      </c>
    </row>
    <row r="9" spans="1:20" ht="43" customHeight="1" x14ac:dyDescent="0.35">
      <c r="A9" t="s">
        <v>73</v>
      </c>
      <c r="B9" s="7" t="s">
        <v>74</v>
      </c>
      <c r="C9" s="7" t="s">
        <v>75</v>
      </c>
      <c r="D9" s="7">
        <v>150</v>
      </c>
      <c r="E9" s="10">
        <v>0.06</v>
      </c>
      <c r="F9" s="7" t="s">
        <v>76</v>
      </c>
      <c r="G9" s="11" t="s">
        <v>54</v>
      </c>
      <c r="H9" s="11" t="s">
        <v>77</v>
      </c>
      <c r="I9" s="11">
        <v>1997</v>
      </c>
      <c r="J9" s="11" t="s">
        <v>78</v>
      </c>
      <c r="K9" s="11" t="s">
        <v>79</v>
      </c>
      <c r="L9" s="11" t="s">
        <v>54</v>
      </c>
      <c r="M9" s="12" t="s">
        <v>80</v>
      </c>
      <c r="N9" s="11" t="s">
        <v>30</v>
      </c>
      <c r="O9" s="11" t="s">
        <v>30</v>
      </c>
      <c r="P9" s="11" t="s">
        <v>44</v>
      </c>
      <c r="Q9" s="11" t="s">
        <v>31</v>
      </c>
      <c r="R9" s="11"/>
      <c r="S9" s="11" t="s">
        <v>32</v>
      </c>
      <c r="T9" s="14" t="s">
        <v>32</v>
      </c>
    </row>
    <row r="10" spans="1:20" ht="43" customHeight="1" x14ac:dyDescent="0.35">
      <c r="A10" t="s">
        <v>81</v>
      </c>
      <c r="B10" s="7" t="s">
        <v>82</v>
      </c>
      <c r="C10" s="7" t="s">
        <v>83</v>
      </c>
      <c r="D10" s="7">
        <v>6258</v>
      </c>
      <c r="E10" s="10">
        <v>0.03</v>
      </c>
      <c r="F10" s="7" t="s">
        <v>84</v>
      </c>
      <c r="G10" s="11" t="s">
        <v>54</v>
      </c>
      <c r="H10" s="11" t="s">
        <v>85</v>
      </c>
      <c r="I10" s="11">
        <v>1993</v>
      </c>
      <c r="J10" s="11" t="s">
        <v>86</v>
      </c>
      <c r="K10" s="11" t="s">
        <v>87</v>
      </c>
      <c r="L10" s="11" t="s">
        <v>88</v>
      </c>
      <c r="M10" s="12" t="s">
        <v>89</v>
      </c>
      <c r="N10" s="11" t="s">
        <v>30</v>
      </c>
      <c r="O10" s="11" t="s">
        <v>30</v>
      </c>
      <c r="P10" s="11" t="s">
        <v>90</v>
      </c>
      <c r="Q10" s="11" t="s">
        <v>31</v>
      </c>
      <c r="R10" s="11"/>
      <c r="S10" s="11" t="s">
        <v>32</v>
      </c>
      <c r="T10" s="14" t="s">
        <v>32</v>
      </c>
    </row>
    <row r="11" spans="1:20" ht="43" customHeight="1" x14ac:dyDescent="0.35">
      <c r="A11" t="s">
        <v>91</v>
      </c>
      <c r="B11" s="7" t="s">
        <v>92</v>
      </c>
      <c r="C11" s="7" t="s">
        <v>93</v>
      </c>
      <c r="D11" s="7">
        <v>40</v>
      </c>
      <c r="E11" s="10">
        <v>0.06</v>
      </c>
      <c r="F11" s="7" t="s">
        <v>94</v>
      </c>
      <c r="G11" s="11" t="s">
        <v>54</v>
      </c>
      <c r="H11" s="11" t="s">
        <v>95</v>
      </c>
      <c r="I11" s="11">
        <v>2006</v>
      </c>
      <c r="J11" s="11" t="s">
        <v>96</v>
      </c>
      <c r="K11" s="11" t="s">
        <v>97</v>
      </c>
      <c r="L11" s="11" t="s">
        <v>54</v>
      </c>
      <c r="M11" s="12" t="s">
        <v>98</v>
      </c>
      <c r="N11" s="11" t="s">
        <v>30</v>
      </c>
      <c r="O11" s="11" t="s">
        <v>30</v>
      </c>
      <c r="P11" s="11" t="s">
        <v>44</v>
      </c>
      <c r="Q11" s="11" t="s">
        <v>31</v>
      </c>
      <c r="R11" s="11"/>
      <c r="S11" s="11" t="s">
        <v>32</v>
      </c>
      <c r="T11" s="14" t="s">
        <v>32</v>
      </c>
    </row>
    <row r="12" spans="1:20" ht="43" customHeight="1" x14ac:dyDescent="0.35">
      <c r="A12" s="6" t="s">
        <v>99</v>
      </c>
      <c r="B12" s="7" t="s">
        <v>100</v>
      </c>
      <c r="C12" s="7" t="s">
        <v>101</v>
      </c>
      <c r="D12" s="7" t="s">
        <v>102</v>
      </c>
      <c r="E12" s="10">
        <v>0.02</v>
      </c>
      <c r="F12" s="7" t="s">
        <v>103</v>
      </c>
      <c r="G12" s="11" t="s">
        <v>104</v>
      </c>
      <c r="H12" s="11" t="s">
        <v>105</v>
      </c>
      <c r="I12" s="11">
        <v>1947</v>
      </c>
      <c r="J12" s="11" t="s">
        <v>106</v>
      </c>
      <c r="K12" s="11" t="s">
        <v>107</v>
      </c>
      <c r="L12" s="11" t="s">
        <v>108</v>
      </c>
      <c r="M12" s="12" t="s">
        <v>109</v>
      </c>
      <c r="N12" s="11" t="s">
        <v>30</v>
      </c>
      <c r="O12" s="11" t="s">
        <v>44</v>
      </c>
      <c r="P12" s="11" t="s">
        <v>30</v>
      </c>
      <c r="Q12" s="11" t="s">
        <v>31</v>
      </c>
      <c r="R12" s="11"/>
      <c r="S12" s="11" t="s">
        <v>32</v>
      </c>
      <c r="T12" s="14" t="s">
        <v>32</v>
      </c>
    </row>
    <row r="13" spans="1:20" ht="43" customHeight="1" x14ac:dyDescent="0.35">
      <c r="A13" s="6" t="s">
        <v>110</v>
      </c>
      <c r="B13" s="7" t="s">
        <v>111</v>
      </c>
      <c r="C13" s="7" t="s">
        <v>112</v>
      </c>
      <c r="D13" s="7">
        <v>767</v>
      </c>
      <c r="E13" s="10">
        <v>7.0000000000000007E-2</v>
      </c>
      <c r="F13" s="7" t="s">
        <v>113</v>
      </c>
      <c r="G13" s="11" t="s">
        <v>114</v>
      </c>
      <c r="H13" s="11" t="s">
        <v>115</v>
      </c>
      <c r="I13" s="11">
        <v>2007</v>
      </c>
      <c r="J13" s="11" t="s">
        <v>116</v>
      </c>
      <c r="K13" s="11" t="s">
        <v>117</v>
      </c>
      <c r="L13" s="11" t="s">
        <v>54</v>
      </c>
      <c r="M13" s="12" t="s">
        <v>118</v>
      </c>
      <c r="N13" s="11" t="s">
        <v>30</v>
      </c>
      <c r="O13" s="11" t="s">
        <v>30</v>
      </c>
      <c r="P13" s="11" t="s">
        <v>30</v>
      </c>
      <c r="Q13" s="11" t="s">
        <v>119</v>
      </c>
      <c r="R13" s="11"/>
      <c r="S13" s="11" t="s">
        <v>32</v>
      </c>
      <c r="T13" s="14" t="s">
        <v>32</v>
      </c>
    </row>
    <row r="14" spans="1:20" ht="43" customHeight="1" x14ac:dyDescent="0.35">
      <c r="B14" s="7" t="s">
        <v>120</v>
      </c>
      <c r="C14" s="7"/>
      <c r="D14" s="7"/>
      <c r="E14" s="7"/>
      <c r="F14" s="7"/>
      <c r="G14" s="11" t="s">
        <v>54</v>
      </c>
      <c r="H14" s="11" t="s">
        <v>121</v>
      </c>
      <c r="I14" s="11">
        <v>1988</v>
      </c>
      <c r="J14" s="11" t="s">
        <v>122</v>
      </c>
      <c r="K14" s="11" t="s">
        <v>123</v>
      </c>
      <c r="L14" s="11" t="s">
        <v>54</v>
      </c>
      <c r="M14" s="12" t="s">
        <v>124</v>
      </c>
      <c r="N14" s="11" t="s">
        <v>30</v>
      </c>
      <c r="O14" s="11" t="s">
        <v>44</v>
      </c>
      <c r="P14" s="11" t="s">
        <v>30</v>
      </c>
      <c r="Q14" s="11" t="s">
        <v>125</v>
      </c>
      <c r="R14" s="11"/>
      <c r="S14" s="11" t="s">
        <v>32</v>
      </c>
      <c r="T14" s="14" t="s">
        <v>32</v>
      </c>
    </row>
    <row r="15" spans="1:20" ht="43" customHeight="1" x14ac:dyDescent="0.35">
      <c r="A15" s="6" t="s">
        <v>126</v>
      </c>
      <c r="B15" s="7" t="s">
        <v>127</v>
      </c>
      <c r="C15" s="7" t="s">
        <v>128</v>
      </c>
      <c r="D15" s="7">
        <v>824</v>
      </c>
      <c r="E15" s="10">
        <v>0.14000000000000001</v>
      </c>
      <c r="F15" s="7" t="s">
        <v>129</v>
      </c>
      <c r="G15" s="11"/>
      <c r="H15" s="11" t="s">
        <v>130</v>
      </c>
      <c r="I15" s="11"/>
      <c r="J15" s="16" t="s">
        <v>131</v>
      </c>
      <c r="K15" s="17" t="s">
        <v>132</v>
      </c>
      <c r="L15" s="11"/>
      <c r="M15" s="17" t="s">
        <v>133</v>
      </c>
      <c r="N15" s="11" t="s">
        <v>30</v>
      </c>
      <c r="O15" s="11" t="s">
        <v>44</v>
      </c>
      <c r="P15" s="11" t="s">
        <v>30</v>
      </c>
      <c r="Q15" s="11"/>
      <c r="R15" s="11"/>
      <c r="S15" s="11"/>
      <c r="T15" s="14"/>
    </row>
    <row r="16" spans="1:20" ht="43" customHeight="1" x14ac:dyDescent="0.35">
      <c r="A16" s="15"/>
      <c r="B16" s="7" t="s">
        <v>134</v>
      </c>
      <c r="C16" s="7"/>
      <c r="D16" s="7">
        <v>2043</v>
      </c>
      <c r="E16" s="7"/>
      <c r="F16" s="7"/>
      <c r="G16" s="11"/>
      <c r="H16" s="11" t="s">
        <v>44</v>
      </c>
      <c r="I16" s="16">
        <v>2008</v>
      </c>
      <c r="J16" s="16" t="s">
        <v>135</v>
      </c>
      <c r="K16" s="17" t="s">
        <v>136</v>
      </c>
      <c r="L16" s="11"/>
      <c r="M16" s="16" t="s">
        <v>137</v>
      </c>
      <c r="N16" s="11" t="s">
        <v>30</v>
      </c>
      <c r="O16" s="11" t="s">
        <v>30</v>
      </c>
      <c r="P16" s="11" t="s">
        <v>30</v>
      </c>
      <c r="Q16" s="11"/>
      <c r="R16" s="11"/>
      <c r="S16" s="11"/>
      <c r="T16" s="14"/>
    </row>
    <row r="17" spans="1:20" ht="43" customHeight="1" x14ac:dyDescent="0.35">
      <c r="A17" s="15"/>
      <c r="B17" s="7" t="s">
        <v>138</v>
      </c>
      <c r="C17" s="7"/>
      <c r="D17" s="7"/>
      <c r="E17" s="7"/>
      <c r="F17" s="7"/>
      <c r="G17" s="16" t="s">
        <v>139</v>
      </c>
      <c r="H17" s="18" t="s">
        <v>140</v>
      </c>
      <c r="I17" s="11">
        <v>2017</v>
      </c>
      <c r="J17" s="18" t="s">
        <v>141</v>
      </c>
      <c r="K17" s="17" t="s">
        <v>142</v>
      </c>
      <c r="L17" s="11"/>
      <c r="M17" s="17" t="s">
        <v>143</v>
      </c>
      <c r="N17" s="11" t="s">
        <v>30</v>
      </c>
      <c r="O17" s="11" t="s">
        <v>44</v>
      </c>
      <c r="P17" s="11" t="s">
        <v>30</v>
      </c>
      <c r="Q17" s="11"/>
      <c r="R17" s="11"/>
      <c r="S17" s="11"/>
      <c r="T17" s="14"/>
    </row>
    <row r="18" spans="1:20" ht="43" customHeight="1" x14ac:dyDescent="0.35">
      <c r="A18" s="15"/>
      <c r="B18" s="7" t="s">
        <v>144</v>
      </c>
      <c r="C18" s="7"/>
      <c r="D18" s="7"/>
      <c r="E18" s="7"/>
      <c r="F18" s="7"/>
      <c r="G18" s="19" t="s">
        <v>145</v>
      </c>
      <c r="H18" s="11" t="s">
        <v>95</v>
      </c>
      <c r="I18" s="11">
        <v>1998</v>
      </c>
      <c r="J18" s="19" t="s">
        <v>146</v>
      </c>
      <c r="K18" s="19" t="s">
        <v>147</v>
      </c>
      <c r="L18" s="19" t="s">
        <v>148</v>
      </c>
      <c r="M18" s="20" t="s">
        <v>149</v>
      </c>
      <c r="N18" s="11" t="s">
        <v>30</v>
      </c>
      <c r="O18" s="11" t="s">
        <v>44</v>
      </c>
      <c r="P18" s="11" t="s">
        <v>44</v>
      </c>
      <c r="Q18" s="19" t="s">
        <v>31</v>
      </c>
      <c r="R18" s="19" t="s">
        <v>150</v>
      </c>
      <c r="S18" s="19" t="s">
        <v>151</v>
      </c>
      <c r="T18" s="21" t="s">
        <v>152</v>
      </c>
    </row>
    <row r="19" spans="1:20" ht="43" customHeight="1" x14ac:dyDescent="0.35">
      <c r="A19" t="s">
        <v>153</v>
      </c>
      <c r="B19" s="7" t="s">
        <v>154</v>
      </c>
      <c r="C19" s="7" t="s">
        <v>155</v>
      </c>
      <c r="D19" s="7">
        <v>445</v>
      </c>
      <c r="E19" s="10">
        <v>0.09</v>
      </c>
      <c r="F19" s="7" t="s">
        <v>156</v>
      </c>
      <c r="G19" s="11" t="s">
        <v>157</v>
      </c>
      <c r="H19" s="11" t="s">
        <v>158</v>
      </c>
      <c r="I19" s="11">
        <v>1979</v>
      </c>
      <c r="J19" s="11" t="s">
        <v>159</v>
      </c>
      <c r="K19" s="11" t="s">
        <v>160</v>
      </c>
      <c r="L19" s="11" t="s">
        <v>157</v>
      </c>
      <c r="M19" s="12" t="s">
        <v>161</v>
      </c>
      <c r="N19" s="11" t="s">
        <v>30</v>
      </c>
      <c r="O19" s="11" t="s">
        <v>30</v>
      </c>
      <c r="P19" s="11" t="s">
        <v>44</v>
      </c>
      <c r="Q19" s="11" t="s">
        <v>31</v>
      </c>
      <c r="R19" s="11" t="s">
        <v>162</v>
      </c>
      <c r="S19" s="11" t="s">
        <v>163</v>
      </c>
      <c r="T19" s="21" t="s">
        <v>164</v>
      </c>
    </row>
    <row r="20" spans="1:20" ht="43" customHeight="1" x14ac:dyDescent="0.35">
      <c r="A20" s="15"/>
      <c r="B20" s="22" t="s">
        <v>165</v>
      </c>
      <c r="C20" s="22"/>
      <c r="D20" s="22"/>
      <c r="E20" s="23"/>
      <c r="F20" s="22"/>
      <c r="G20" s="24" t="s">
        <v>157</v>
      </c>
      <c r="H20" s="24">
        <v>670</v>
      </c>
      <c r="I20" s="24">
        <v>2009</v>
      </c>
      <c r="J20" s="24" t="s">
        <v>166</v>
      </c>
      <c r="K20" s="24" t="s">
        <v>167</v>
      </c>
      <c r="L20" s="24" t="s">
        <v>157</v>
      </c>
      <c r="M20" s="25" t="s">
        <v>168</v>
      </c>
      <c r="N20" s="11" t="s">
        <v>30</v>
      </c>
      <c r="O20" s="11" t="s">
        <v>30</v>
      </c>
      <c r="P20" s="11" t="s">
        <v>30</v>
      </c>
      <c r="Q20" s="24" t="s">
        <v>31</v>
      </c>
      <c r="R20" s="24" t="s">
        <v>169</v>
      </c>
      <c r="S20" s="24" t="s">
        <v>163</v>
      </c>
      <c r="T20" s="26" t="s">
        <v>170</v>
      </c>
    </row>
    <row r="27" spans="1:20" ht="43" customHeight="1" x14ac:dyDescent="0.35">
      <c r="B27" t="s">
        <v>171</v>
      </c>
    </row>
    <row r="28" spans="1:20" ht="43" customHeight="1" x14ac:dyDescent="0.35">
      <c r="B28" t="s">
        <v>172</v>
      </c>
    </row>
    <row r="29" spans="1:20" ht="43" customHeight="1" x14ac:dyDescent="0.35">
      <c r="B29" t="s">
        <v>173</v>
      </c>
    </row>
    <row r="30" spans="1:20" ht="43" customHeight="1" x14ac:dyDescent="0.35">
      <c r="B30" t="s">
        <v>174</v>
      </c>
    </row>
  </sheetData>
  <conditionalFormatting sqref="N1:P1048576">
    <cfRule type="cellIs" dxfId="26" priority="2" operator="equal">
      <formula>"✔"</formula>
    </cfRule>
  </conditionalFormatting>
  <conditionalFormatting sqref="O1:P1048576">
    <cfRule type="cellIs" dxfId="25" priority="1" operator="equal">
      <formula>"?"</formula>
    </cfRule>
  </conditionalFormatting>
  <conditionalFormatting sqref="P1:P1048576">
    <cfRule type="cellIs" dxfId="24" priority="3" operator="equal">
      <formula>"X"</formula>
    </cfRule>
  </conditionalFormatting>
  <hyperlinks>
    <hyperlink ref="M18" r:id="rId1" display="http://www.jenabioscience.com/" xr:uid="{00B34D3F-F52F-4941-8200-BEEF106439C0}"/>
    <hyperlink ref="M19" r:id="rId2" display="http://www.nuvisan.com/" xr:uid="{3FF8FC6B-E9F1-488F-84DD-514302561D2E}"/>
    <hyperlink ref="A12" r:id="rId3" xr:uid="{65D6CBE3-5A8E-4BE9-931C-C6798B506DB7}"/>
    <hyperlink ref="A13" r:id="rId4" xr:uid="{78AEEA77-6418-4B4E-A2F3-0C913A5E29B3}"/>
    <hyperlink ref="A3" r:id="rId5" xr:uid="{B5C52BD4-D41F-4BE2-9600-A5745FED8985}"/>
    <hyperlink ref="A4" r:id="rId6" xr:uid="{5216B747-0768-4C03-83CF-25CAE66582A8}"/>
    <hyperlink ref="A5" r:id="rId7" xr:uid="{20ED53F3-149B-4FDE-9243-57F6717B06DD}"/>
    <hyperlink ref="A15" r:id="rId8" xr:uid="{0BFF4291-3A16-4487-B423-F70FA5871101}"/>
  </hyperlinks>
  <pageMargins left="0.7" right="0.7" top="0.75" bottom="0.75" header="0.3" footer="0.3"/>
  <tableParts count="1">
    <tablePart r:id="rId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Offre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Richard GRONDIN</dc:creator>
  <cp:lastModifiedBy>Richard GRONDIN</cp:lastModifiedBy>
  <dcterms:created xsi:type="dcterms:W3CDTF">2025-01-16T08:18:36Z</dcterms:created>
  <dcterms:modified xsi:type="dcterms:W3CDTF">2025-01-16T08:26:32Z</dcterms:modified>
</cp:coreProperties>
</file>